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<sst xmlns="http://schemas.openxmlformats.org/spreadsheetml/2006/main" count="36" uniqueCount="25">
  <si>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毕业设计（论文）成绩总评表</t>
  </si>
  <si>
    <t>学生学号：     2020404010117                   学生姓名：袁磊</t>
  </si>
  <si>
    <t>课程目标</t>
  </si>
  <si>
    <t>指导教师（40%）</t>
  </si>
  <si>
    <t>评阅教师（20%）</t>
  </si>
  <si>
    <t>毕业答辩（40%）</t>
  </si>
  <si>
    <t>开题报告（10%）</t>
  </si>
  <si>
    <t>参考文献综述（10%）</t>
  </si>
  <si>
    <t>毕业论文（20%）</t>
  </si>
  <si>
    <t>分值</t>
  </si>
  <si>
    <t>得分</t>
  </si>
  <si>
    <t>合计</t>
  </si>
  <si>
    <t>总评成绩</t>
  </si>
  <si>
    <t>总评等级</t>
  </si>
  <si>
    <t>毕业设计成绩达成情况评价表</t>
  </si>
  <si>
    <t>课程（毕业设计）目标</t>
  </si>
  <si>
    <r>
      <rPr>
        <sz val="11"/>
        <color rgb="FFFF0000"/>
        <rFont val="宋体"/>
        <charset val="134"/>
      </rPr>
      <t>毕业设计评价环节</t>
    </r>
  </si>
  <si>
    <t>毕业设计目标的
各环节总分值</t>
  </si>
  <si>
    <t>毕业设计目标的达成度</t>
  </si>
  <si>
    <r>
      <rPr>
        <sz val="11"/>
        <color rgb="FFFF0000"/>
        <rFont val="宋体"/>
        <charset val="134"/>
      </rPr>
      <t>开题报告成绩</t>
    </r>
  </si>
  <si>
    <r>
      <rPr>
        <sz val="11"/>
        <color rgb="FFFF0000"/>
        <rFont val="微软雅黑"/>
        <charset val="134"/>
      </rPr>
      <t>文献综述</t>
    </r>
    <r>
      <rPr>
        <sz val="11"/>
        <color rgb="FFFF0000"/>
        <rFont val="宋体"/>
        <charset val="134"/>
      </rPr>
      <t>成绩</t>
    </r>
  </si>
  <si>
    <r>
      <rPr>
        <sz val="11"/>
        <color rgb="FFFF0000"/>
        <rFont val="宋体"/>
        <charset val="134"/>
      </rPr>
      <t>论文批阅成绩</t>
    </r>
  </si>
  <si>
    <r>
      <rPr>
        <sz val="11"/>
        <color rgb="FFFF0000"/>
        <rFont val="宋体"/>
        <charset val="134"/>
      </rPr>
      <t>论文评阅成绩</t>
    </r>
  </si>
  <si>
    <r>
      <rPr>
        <sz val="11"/>
        <color rgb="FFFF0000"/>
        <rFont val="宋体"/>
        <charset val="134"/>
      </rPr>
      <t>毕业答辩成绩</t>
    </r>
  </si>
  <si>
    <r>
      <rPr>
        <sz val="11"/>
        <color rgb="FFFF0000"/>
        <rFont val="宋体"/>
        <charset val="134"/>
      </rPr>
      <t>加权成绩得分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</si>
</sst>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Cambria"/>
      <charset val="134"/>
    </font>
    <font>
      <sz val="12"/>
      <color rgb="FFFF0000"/>
      <name val="Cambria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N32" sqref="N32"/>
    </sheetView>
  </sheetViews>
  <sheetFormatPr defaultColWidth="9" defaultRowHeight="13.5"/>
  <sheetData>
    <row r="1" ht="18.75" spans="1:1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</row>
    <row r="2" spans="1:1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5" t="s">
        <v>2</v>
      </c>
      <c r="B3" s="6" t="s">
        <v>3</v>
      </c>
      <c r="C3" s="6"/>
      <c r="D3" s="6"/>
      <c r="E3" s="6"/>
      <c r="F3" s="6"/>
      <c r="G3" s="6"/>
      <c r="H3" s="5" t="s">
        <v>4</v>
      </c>
      <c r="I3" s="5"/>
      <c r="J3" s="5" t="s">
        <v>5</v>
      </c>
      <c r="K3" s="5"/>
    </row>
    <row r="4" spans="1:11">
      <c r="A4" s="5"/>
      <c r="B4" s="5" t="s">
        <v>6</v>
      </c>
      <c r="C4" s="5"/>
      <c r="D4" s="5" t="s">
        <v>7</v>
      </c>
      <c r="E4" s="5"/>
      <c r="F4" s="5" t="s">
        <v>8</v>
      </c>
      <c r="G4" s="5"/>
      <c r="H4" s="5" t="s">
        <v>8</v>
      </c>
      <c r="I4" s="5"/>
      <c r="J4" s="5" t="s">
        <v>9</v>
      </c>
      <c r="K4" s="5" t="s">
        <v>10</v>
      </c>
    </row>
    <row r="5" spans="1:11">
      <c r="A5" s="5"/>
      <c r="B5" s="5" t="s">
        <v>9</v>
      </c>
      <c r="C5" s="5" t="s">
        <v>10</v>
      </c>
      <c r="D5" s="5" t="s">
        <v>9</v>
      </c>
      <c r="E5" s="5" t="s">
        <v>10</v>
      </c>
      <c r="F5" s="5" t="s">
        <v>9</v>
      </c>
      <c r="G5" s="5" t="s">
        <v>10</v>
      </c>
      <c r="H5" s="5" t="s">
        <v>9</v>
      </c>
      <c r="I5" s="5" t="s">
        <v>10</v>
      </c>
      <c r="J5" s="5"/>
      <c r="K5" s="5"/>
    </row>
    <row r="6" spans="1:11">
      <c r="A6" s="5">
        <v>1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5">
        <v>2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5">
        <v>3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5">
        <v>4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 t="s">
        <v>12</v>
      </c>
      <c r="B17" s="5"/>
      <c r="C17" s="6">
        <f>ROUND(C16*0.1+E16*0.1+G16*0.2+I16*0.2+K16*0.4,0)</f>
        <v>0</v>
      </c>
      <c r="D17" s="6"/>
      <c r="E17" s="6"/>
      <c r="F17" s="6"/>
      <c r="G17" s="6"/>
      <c r="H17" s="6"/>
      <c r="I17" s="6"/>
      <c r="J17" s="6"/>
      <c r="K17" s="6"/>
    </row>
    <row r="18" spans="1:11">
      <c r="A18" s="5" t="s">
        <v>13</v>
      </c>
      <c r="B18" s="5"/>
      <c r="C18" s="6" t="str">
        <f>IF(C17&gt;=90,"优秀",IF(C17&gt;=80,"良好",IF(C17&gt;=70,"中等",IF(C17&gt;=60,"合格","不合格"))))</f>
        <v>不合格</v>
      </c>
      <c r="D18" s="6"/>
      <c r="E18" s="6"/>
      <c r="F18" s="6"/>
      <c r="G18" s="6"/>
      <c r="H18" s="6"/>
      <c r="I18" s="6"/>
      <c r="J18" s="6"/>
      <c r="K18" s="6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8.75" spans="1:11">
      <c r="A21" s="7" t="s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3"/>
      <c r="B22" s="8" t="s">
        <v>1</v>
      </c>
      <c r="C22" s="9"/>
      <c r="D22" s="9"/>
      <c r="E22" s="9"/>
      <c r="F22" s="9"/>
      <c r="G22" s="9"/>
      <c r="H22" s="9"/>
      <c r="I22" s="9"/>
      <c r="J22" s="9"/>
      <c r="K22" s="3"/>
    </row>
    <row r="23" ht="14.25" spans="1:11">
      <c r="A23" s="3"/>
      <c r="B23" s="10" t="s">
        <v>15</v>
      </c>
      <c r="C23" s="11" t="s">
        <v>16</v>
      </c>
      <c r="D23" s="11"/>
      <c r="E23" s="11"/>
      <c r="F23" s="11"/>
      <c r="G23" s="11"/>
      <c r="H23" s="11"/>
      <c r="I23" s="10" t="s">
        <v>17</v>
      </c>
      <c r="J23" s="10" t="s">
        <v>18</v>
      </c>
      <c r="K23" s="3"/>
    </row>
    <row r="24" ht="30" spans="1:11">
      <c r="A24" s="3"/>
      <c r="B24" s="11"/>
      <c r="C24" s="11" t="s">
        <v>19</v>
      </c>
      <c r="D24" s="11" t="s">
        <v>20</v>
      </c>
      <c r="E24" s="11" t="s">
        <v>21</v>
      </c>
      <c r="F24" s="11" t="s">
        <v>22</v>
      </c>
      <c r="G24" s="11" t="s">
        <v>23</v>
      </c>
      <c r="H24" s="11" t="s">
        <v>24</v>
      </c>
      <c r="I24" s="11"/>
      <c r="J24" s="11"/>
      <c r="K24" s="3"/>
    </row>
    <row r="25" ht="15.75" spans="1:11">
      <c r="A25" s="3"/>
      <c r="B25" s="12">
        <v>1</v>
      </c>
      <c r="C25" s="5"/>
      <c r="D25" s="5"/>
      <c r="E25" s="5"/>
      <c r="F25" s="5"/>
      <c r="G25" s="5"/>
      <c r="H25" s="13"/>
      <c r="I25" s="13"/>
      <c r="J25" s="13"/>
      <c r="K25" s="3"/>
    </row>
    <row r="26" ht="15.75" spans="1:11">
      <c r="A26" s="3"/>
      <c r="B26" s="12">
        <v>2</v>
      </c>
      <c r="C26" s="5"/>
      <c r="D26" s="5"/>
      <c r="E26" s="5"/>
      <c r="F26" s="5"/>
      <c r="G26" s="5"/>
      <c r="H26" s="13"/>
      <c r="I26" s="13"/>
      <c r="J26" s="13"/>
      <c r="K26" s="3"/>
    </row>
    <row r="27" ht="15.75" spans="1:11">
      <c r="A27" s="3"/>
      <c r="B27" s="12">
        <v>3</v>
      </c>
      <c r="C27" s="5"/>
      <c r="D27" s="5"/>
      <c r="E27" s="5"/>
      <c r="F27" s="5"/>
      <c r="G27" s="5"/>
      <c r="H27" s="13"/>
      <c r="I27" s="13"/>
      <c r="J27" s="13"/>
      <c r="K27" s="3"/>
    </row>
    <row r="28" ht="15.75" spans="1:11">
      <c r="A28" s="3"/>
      <c r="B28" s="12">
        <v>4</v>
      </c>
      <c r="C28" s="5"/>
      <c r="D28" s="5"/>
      <c r="E28" s="5"/>
      <c r="F28" s="5"/>
      <c r="G28" s="5"/>
      <c r="H28" s="13"/>
      <c r="I28" s="13"/>
      <c r="J28" s="13"/>
      <c r="K28" s="3"/>
    </row>
    <row r="29" ht="15.75" spans="1:11">
      <c r="A29" s="3"/>
      <c r="B29" s="12">
        <v>5</v>
      </c>
      <c r="C29" s="5"/>
      <c r="D29" s="5"/>
      <c r="E29" s="5"/>
      <c r="F29" s="5"/>
      <c r="G29" s="5"/>
      <c r="H29" s="13"/>
      <c r="I29" s="13"/>
      <c r="J29" s="13"/>
      <c r="K29" s="3"/>
    </row>
    <row r="30" ht="15.75" spans="1:11">
      <c r="A30" s="3"/>
      <c r="B30" s="12">
        <v>6</v>
      </c>
      <c r="C30" s="5"/>
      <c r="D30" s="5"/>
      <c r="E30" s="5"/>
      <c r="F30" s="5"/>
      <c r="G30" s="5"/>
      <c r="H30" s="13"/>
      <c r="I30" s="13"/>
      <c r="J30" s="13"/>
      <c r="K30" s="3"/>
    </row>
    <row r="31" ht="15.75" spans="1:11">
      <c r="A31" s="3"/>
      <c r="B31" s="12">
        <v>7</v>
      </c>
      <c r="C31" s="5"/>
      <c r="D31" s="5"/>
      <c r="E31" s="5"/>
      <c r="F31" s="5"/>
      <c r="G31" s="5"/>
      <c r="H31" s="13"/>
      <c r="I31" s="13"/>
      <c r="J31" s="13"/>
      <c r="K31" s="3"/>
    </row>
    <row r="32" ht="15.75" spans="1:11">
      <c r="A32" s="3"/>
      <c r="B32" s="12">
        <v>8</v>
      </c>
      <c r="C32" s="5"/>
      <c r="D32" s="5"/>
      <c r="E32" s="5"/>
      <c r="F32" s="5"/>
      <c r="G32" s="5"/>
      <c r="H32" s="13"/>
      <c r="I32" s="13"/>
      <c r="J32" s="13"/>
      <c r="K32" s="3"/>
    </row>
    <row r="33" ht="15.75" spans="1:11">
      <c r="A33" s="3"/>
      <c r="B33" s="12">
        <v>9</v>
      </c>
      <c r="C33" s="5"/>
      <c r="D33" s="5"/>
      <c r="E33" s="5"/>
      <c r="F33" s="5"/>
      <c r="G33" s="5"/>
      <c r="H33" s="13"/>
      <c r="I33" s="13"/>
      <c r="J33" s="13"/>
      <c r="K33" s="3"/>
    </row>
    <row r="34" ht="15.75" spans="1:11">
      <c r="A34" s="3"/>
      <c r="B34" s="12">
        <v>10</v>
      </c>
      <c r="C34" s="5"/>
      <c r="D34" s="5"/>
      <c r="E34" s="5"/>
      <c r="F34" s="5"/>
      <c r="G34" s="5"/>
      <c r="H34" s="13"/>
      <c r="I34" s="13"/>
      <c r="J34" s="13"/>
      <c r="K34" s="3"/>
    </row>
    <row r="35" spans="1:11">
      <c r="A35" s="3"/>
      <c r="B35" s="13" t="s">
        <v>11</v>
      </c>
      <c r="C35" s="5">
        <f t="shared" ref="C35:G35" si="0">SUM(C25:C34)</f>
        <v>0</v>
      </c>
      <c r="D35" s="5">
        <f t="shared" si="0"/>
        <v>0</v>
      </c>
      <c r="E35" s="5">
        <f t="shared" si="0"/>
        <v>0</v>
      </c>
      <c r="F35" s="5">
        <f t="shared" si="0"/>
        <v>0</v>
      </c>
      <c r="G35" s="5">
        <f t="shared" si="0"/>
        <v>0</v>
      </c>
      <c r="H35" s="13"/>
      <c r="I35" s="13"/>
      <c r="J35" s="13"/>
      <c r="K35" s="3"/>
    </row>
  </sheetData>
  <mergeCells count="14">
    <mergeCell ref="A1:K1"/>
    <mergeCell ref="A2:K2"/>
    <mergeCell ref="B3:G3"/>
    <mergeCell ref="A17:B17"/>
    <mergeCell ref="C17:K17"/>
    <mergeCell ref="A18:B18"/>
    <mergeCell ref="C18:K18"/>
    <mergeCell ref="A21:K21"/>
    <mergeCell ref="B22:J22"/>
    <mergeCell ref="C23:H23"/>
    <mergeCell ref="A3:A5"/>
    <mergeCell ref="B23:B24"/>
    <mergeCell ref="I23:I24"/>
    <mergeCell ref="J23:J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2025-05-15T02:35:00Z</dcterms:created>
  <dcterms:modified xsi:type="dcterms:W3CDTF">2025-10-31T10:56:59Z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E54B3641288444509FA6D8E08F95CECD_11</vt:lpwstr>
  </property>
  <property fmtid="{D5CDD505-2E9C-101B-9397-08002B2CF9AE}" pid="3" name="KSOProductBuildVer">
    <vt:lpwstr>2052-12.1.0.23125</vt:lpwstr>
  </property>
</Properties>
</file>